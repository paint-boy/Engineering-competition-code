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<sst xmlns="http://schemas.openxmlformats.org/spreadsheetml/2006/main" count="68" uniqueCount="48">
  <si>
    <t>panzer</t>
  </si>
  <si>
    <t>usart.o</t>
  </si>
  <si>
    <t>startup_stm32f405xx.o</t>
  </si>
  <si>
    <t>tim.o</t>
  </si>
  <si>
    <t>encode.o</t>
  </si>
  <si>
    <t>bule_tooch.o</t>
  </si>
  <si>
    <t>interurp.o</t>
  </si>
  <si>
    <t>control_car.o</t>
  </si>
  <si>
    <t>emm_v5.o</t>
  </si>
  <si>
    <t>stm32f4xx_hal.o</t>
  </si>
  <si>
    <t>stm32f4xx_it.o</t>
  </si>
  <si>
    <t>system_stm32f4xx.o</t>
  </si>
  <si>
    <t>stm32f4xx_hal_tim.o</t>
  </si>
  <si>
    <t>stm32f4xx_hal_uart.o</t>
  </si>
  <si>
    <t>stm32f4xx_hal_rcc.o</t>
  </si>
  <si>
    <t>stm32f4xx_hal_dma.o</t>
  </si>
  <si>
    <t>stm32f4xx_hal_gpio.o</t>
  </si>
  <si>
    <t>mf_w.l</t>
  </si>
  <si>
    <t>stm32f4xx_hal_cortex.o</t>
  </si>
  <si>
    <t>main.o</t>
  </si>
  <si>
    <t>stm32f4xx_hal_tim_ex.o</t>
  </si>
  <si>
    <t>mc_w.l</t>
  </si>
  <si>
    <t>dmul.o</t>
  </si>
  <si>
    <t>dma.o</t>
  </si>
  <si>
    <t>gpio.o</t>
  </si>
  <si>
    <t>depilogue.o</t>
  </si>
  <si>
    <t>uldiv.o</t>
  </si>
  <si>
    <t>stm32f4xx_hal_msp.o</t>
  </si>
  <si>
    <t>dfixui.o</t>
  </si>
  <si>
    <t>init.o</t>
  </si>
  <si>
    <t>f2d.o</t>
  </si>
  <si>
    <t>memseta.o</t>
  </si>
  <si>
    <t>llushr.o</t>
  </si>
  <si>
    <t>llshl.o</t>
  </si>
  <si>
    <t>handlers.o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</si>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</sst>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ram_percent!$A$3:$A$40</c:f>
              <c:strCache>
                <c:ptCount val="38"/>
                <c:pt idx="0">
                  <c:v>usart.o</c:v>
                </c:pt>
                <c:pt idx="1">
                  <c:v>startup_stm32f405xx.o</c:v>
                </c:pt>
                <c:pt idx="2">
                  <c:v>tim.o</c:v>
                </c:pt>
                <c:pt idx="3">
                  <c:v>encode.o</c:v>
                </c:pt>
                <c:pt idx="4">
                  <c:v>bule_tooch.o</c:v>
                </c:pt>
                <c:pt idx="5">
                  <c:v>interurp.o</c:v>
                </c:pt>
                <c:pt idx="6">
                  <c:v>control_car.o</c:v>
                </c:pt>
                <c:pt idx="7">
                  <c:v>emm_v5.o</c:v>
                </c:pt>
                <c:pt idx="8">
                  <c:v>stm32f4xx_hal.o</c:v>
                </c:pt>
                <c:pt idx="9">
                  <c:v>stm32f4xx_it.o</c:v>
                </c:pt>
                <c:pt idx="10">
                  <c:v>system_stm32f4xx.o</c:v>
                </c:pt>
                <c:pt idx="37">
                  <c:v>Totals</c:v>
                </c:pt>
              </c:strCache>
            </c:strRef>
          </c:cat>
          <c:val>
            <c:numRef>
              <c:f>ram_percent!$B$3:$B$40</c:f>
              <c:numCache>
                <c:formatCode>General</c:formatCode>
                <c:ptCount val="38"/>
                <c:pt idx="0">
                  <c:v>34.71400451660156</c:v>
                </c:pt>
                <c:pt idx="1">
                  <c:v>33.66206359863281</c:v>
                </c:pt>
                <c:pt idx="2">
                  <c:v>11.83431911468506</c:v>
                </c:pt>
                <c:pt idx="3">
                  <c:v>7.100591659545898</c:v>
                </c:pt>
                <c:pt idx="4">
                  <c:v>4.339250564575195</c:v>
                </c:pt>
                <c:pt idx="5">
                  <c:v>3.813280820846558</c:v>
                </c:pt>
                <c:pt idx="6">
                  <c:v>3.18869161605835</c:v>
                </c:pt>
                <c:pt idx="7">
                  <c:v>0.6574621796607971</c:v>
                </c:pt>
                <c:pt idx="8">
                  <c:v>0.2958579957485199</c:v>
                </c:pt>
                <c:pt idx="9">
                  <c:v>0.2629848718643189</c:v>
                </c:pt>
                <c:pt idx="10">
                  <c:v>0.1314924359321594</c:v>
                </c:pt>
                <c:pt idx="37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flash_percent!$A$3:$A$40</c:f>
              <c:strCache>
                <c:ptCount val="38"/>
                <c:pt idx="0">
                  <c:v>stm32f4xx_hal_tim.o</c:v>
                </c:pt>
                <c:pt idx="1">
                  <c:v>stm32f4xx_hal_uart.o</c:v>
                </c:pt>
                <c:pt idx="2">
                  <c:v>stm32f4xx_hal_rcc.o</c:v>
                </c:pt>
                <c:pt idx="3">
                  <c:v>bule_tooch.o</c:v>
                </c:pt>
                <c:pt idx="4">
                  <c:v>stm32f4xx_hal_dma.o</c:v>
                </c:pt>
                <c:pt idx="5">
                  <c:v>usart.o</c:v>
                </c:pt>
                <c:pt idx="6">
                  <c:v>tim.o</c:v>
                </c:pt>
                <c:pt idx="7">
                  <c:v>stm32f4xx_hal_gpio.o</c:v>
                </c:pt>
                <c:pt idx="8">
                  <c:v>stm32f4xx_it.o</c:v>
                </c:pt>
                <c:pt idx="9">
                  <c:v>interurp.o</c:v>
                </c:pt>
                <c:pt idx="10">
                  <c:v>mf_w.l</c:v>
                </c:pt>
                <c:pt idx="11">
                  <c:v>stm32f4xx_hal_cortex.o</c:v>
                </c:pt>
                <c:pt idx="12">
                  <c:v>startup_stm32f405xx.o</c:v>
                </c:pt>
                <c:pt idx="13">
                  <c:v>main.o</c:v>
                </c:pt>
                <c:pt idx="14">
                  <c:v>encode.o</c:v>
                </c:pt>
                <c:pt idx="15">
                  <c:v>stm32f4xx_hal_tim_ex.o</c:v>
                </c:pt>
                <c:pt idx="16">
                  <c:v>mc_w.l</c:v>
                </c:pt>
                <c:pt idx="17">
                  <c:v>stm32f4xx_hal.o</c:v>
                </c:pt>
                <c:pt idx="18">
                  <c:v>dmul.o</c:v>
                </c:pt>
                <c:pt idx="19">
                  <c:v>dma.o</c:v>
                </c:pt>
                <c:pt idx="20">
                  <c:v>gpio.o</c:v>
                </c:pt>
                <c:pt idx="21">
                  <c:v>control_car.o</c:v>
                </c:pt>
                <c:pt idx="22">
                  <c:v>depilogue.o</c:v>
                </c:pt>
                <c:pt idx="23">
                  <c:v>emm_v5.o</c:v>
                </c:pt>
                <c:pt idx="24">
                  <c:v>uldiv.o</c:v>
                </c:pt>
                <c:pt idx="25">
                  <c:v>stm32f4xx_hal_msp.o</c:v>
                </c:pt>
                <c:pt idx="26">
                  <c:v>dfixui.o</c:v>
                </c:pt>
                <c:pt idx="27">
                  <c:v>init.o</c:v>
                </c:pt>
                <c:pt idx="28">
                  <c:v>system_stm32f4xx.o</c:v>
                </c:pt>
                <c:pt idx="29">
                  <c:v>f2d.o</c:v>
                </c:pt>
                <c:pt idx="30">
                  <c:v>memseta.o</c:v>
                </c:pt>
                <c:pt idx="31">
                  <c:v>llushr.o</c:v>
                </c:pt>
                <c:pt idx="32">
                  <c:v>llshl.o</c:v>
                </c:pt>
                <c:pt idx="33">
                  <c:v>handlers.o</c:v>
                </c:pt>
                <c:pt idx="34">
                  <c:v>entry9a.o</c:v>
                </c:pt>
                <c:pt idx="35">
                  <c:v>entry2.o</c:v>
                </c:pt>
                <c:pt idx="36">
                  <c:v>entry5.o</c:v>
                </c:pt>
                <c:pt idx="37">
                  <c:v>Totals</c:v>
                </c:pt>
              </c:strCache>
            </c:strRef>
          </c:cat>
          <c:val>
            <c:numRef>
              <c:f>flash_percent!$B$3:$B$40</c:f>
              <c:numCache>
                <c:formatCode>General</c:formatCode>
                <c:ptCount val="38"/>
                <c:pt idx="0">
                  <c:v>17.82472610473633</c:v>
                </c:pt>
                <c:pt idx="1">
                  <c:v>14.96870136260986</c:v>
                </c:pt>
                <c:pt idx="2">
                  <c:v>10.35211277008057</c:v>
                </c:pt>
                <c:pt idx="3">
                  <c:v>8.169013977050781</c:v>
                </c:pt>
                <c:pt idx="4">
                  <c:v>8.122065544128418</c:v>
                </c:pt>
                <c:pt idx="5">
                  <c:v>6.032863616943359</c:v>
                </c:pt>
                <c:pt idx="6">
                  <c:v>5.242566585540772</c:v>
                </c:pt>
                <c:pt idx="7">
                  <c:v>3.896713733673096</c:v>
                </c:pt>
                <c:pt idx="8">
                  <c:v>3.693270683288574</c:v>
                </c:pt>
                <c:pt idx="9">
                  <c:v>3.615023374557495</c:v>
                </c:pt>
                <c:pt idx="10">
                  <c:v>1.964006304740906</c:v>
                </c:pt>
                <c:pt idx="11">
                  <c:v>1.885758996009827</c:v>
                </c:pt>
                <c:pt idx="12">
                  <c:v>1.674491405487061</c:v>
                </c:pt>
                <c:pt idx="13">
                  <c:v>1.27543032169342</c:v>
                </c:pt>
                <c:pt idx="14">
                  <c:v>1.259780883789063</c:v>
                </c:pt>
                <c:pt idx="15">
                  <c:v>1.197183132171631</c:v>
                </c:pt>
                <c:pt idx="16">
                  <c:v>1.150234699249268</c:v>
                </c:pt>
                <c:pt idx="17">
                  <c:v>1.075899839401245</c:v>
                </c:pt>
                <c:pt idx="18">
                  <c:v>0.8920187950134277</c:v>
                </c:pt>
                <c:pt idx="19">
                  <c:v>0.8685445785522461</c:v>
                </c:pt>
                <c:pt idx="20">
                  <c:v>0.7746478915214539</c:v>
                </c:pt>
                <c:pt idx="21">
                  <c:v>0.762910783290863</c:v>
                </c:pt>
                <c:pt idx="22">
                  <c:v>0.7276995182037354</c:v>
                </c:pt>
                <c:pt idx="23">
                  <c:v>0.6103286147117615</c:v>
                </c:pt>
                <c:pt idx="24">
                  <c:v>0.3834115862846375</c:v>
                </c:pt>
                <c:pt idx="25">
                  <c:v>0.2895148694515228</c:v>
                </c:pt>
                <c:pt idx="26">
                  <c:v>0.1956181526184082</c:v>
                </c:pt>
                <c:pt idx="27">
                  <c:v>0.1877934336662293</c:v>
                </c:pt>
                <c:pt idx="28">
                  <c:v>0.1799686998128891</c:v>
                </c:pt>
                <c:pt idx="29">
                  <c:v>0.1486697942018509</c:v>
                </c:pt>
                <c:pt idx="30">
                  <c:v>0.1408450752496719</c:v>
                </c:pt>
                <c:pt idx="31">
                  <c:v>0.1251956224441528</c:v>
                </c:pt>
                <c:pt idx="32">
                  <c:v>0.1173708885908127</c:v>
                </c:pt>
                <c:pt idx="33">
                  <c:v>0.1173708885908127</c:v>
                </c:pt>
                <c:pt idx="34">
                  <c:v>0.03129890561103821</c:v>
                </c:pt>
                <c:pt idx="35">
                  <c:v>0.03129890561103821</c:v>
                </c:pt>
                <c:pt idx="36">
                  <c:v>0.0156494528055191</c:v>
                </c:pt>
                <c:pt idx="37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40" totalsRowCount="1">
  <autoFilter ref="A2:H39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40" totalsRowCount="1">
  <autoFilter ref="A2:H39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0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38</v>
      </c>
      <c r="B2" t="s">
        <v>40</v>
      </c>
      <c r="C2" t="s">
        <v>41</v>
      </c>
      <c r="D2" t="s">
        <v>42</v>
      </c>
      <c r="E2" t="s">
        <v>43</v>
      </c>
      <c r="F2" t="s">
        <v>44</v>
      </c>
      <c r="G2" t="s">
        <v>45</v>
      </c>
      <c r="H2" t="s">
        <v>46</v>
      </c>
    </row>
    <row r="3" spans="1:8">
      <c r="A3" s="1" t="s">
        <v>1</v>
      </c>
      <c r="B3" s="2">
        <v>34.71400451660156</v>
      </c>
      <c r="C3" s="1">
        <v>1056</v>
      </c>
      <c r="D3" s="1">
        <v>1542</v>
      </c>
      <c r="E3" s="1">
        <v>1542</v>
      </c>
      <c r="F3" s="1">
        <v>0</v>
      </c>
      <c r="G3" s="1">
        <v>0</v>
      </c>
      <c r="H3" s="1">
        <v>1056</v>
      </c>
    </row>
    <row r="4" spans="1:8">
      <c r="A4" s="1" t="s">
        <v>2</v>
      </c>
      <c r="B4" s="2">
        <v>33.66206359863281</v>
      </c>
      <c r="C4" s="1">
        <v>1024</v>
      </c>
      <c r="D4" s="1">
        <v>428</v>
      </c>
      <c r="E4" s="1">
        <v>36</v>
      </c>
      <c r="F4" s="1">
        <v>392</v>
      </c>
      <c r="G4" s="1">
        <v>0</v>
      </c>
      <c r="H4" s="1">
        <v>1024</v>
      </c>
    </row>
    <row r="5" spans="1:8">
      <c r="A5" s="1" t="s">
        <v>3</v>
      </c>
      <c r="B5" s="2">
        <v>11.83431911468506</v>
      </c>
      <c r="C5" s="1">
        <v>360</v>
      </c>
      <c r="D5" s="1">
        <v>1340</v>
      </c>
      <c r="E5" s="1">
        <v>1340</v>
      </c>
      <c r="F5" s="1">
        <v>0</v>
      </c>
      <c r="G5" s="1">
        <v>0</v>
      </c>
      <c r="H5" s="1">
        <v>360</v>
      </c>
    </row>
    <row r="6" spans="1:8">
      <c r="A6" s="1" t="s">
        <v>4</v>
      </c>
      <c r="B6" s="2">
        <v>7.100591659545898</v>
      </c>
      <c r="C6" s="1">
        <v>216</v>
      </c>
      <c r="D6" s="1">
        <v>322</v>
      </c>
      <c r="E6" s="1">
        <v>106</v>
      </c>
      <c r="F6" s="1">
        <v>0</v>
      </c>
      <c r="G6" s="1">
        <v>216</v>
      </c>
      <c r="H6" s="1">
        <v>0</v>
      </c>
    </row>
    <row r="7" spans="1:8">
      <c r="A7" s="1" t="s">
        <v>5</v>
      </c>
      <c r="B7" s="2">
        <v>4.339250564575195</v>
      </c>
      <c r="C7" s="1">
        <v>132</v>
      </c>
      <c r="D7" s="1">
        <v>2088</v>
      </c>
      <c r="E7" s="1">
        <v>2088</v>
      </c>
      <c r="F7" s="1">
        <v>0</v>
      </c>
      <c r="G7" s="1">
        <v>0</v>
      </c>
      <c r="H7" s="1">
        <v>132</v>
      </c>
    </row>
    <row r="8" spans="1:8">
      <c r="A8" s="1" t="s">
        <v>6</v>
      </c>
      <c r="B8" s="2">
        <v>3.813280820846558</v>
      </c>
      <c r="C8" s="1">
        <v>116</v>
      </c>
      <c r="D8" s="1">
        <v>924</v>
      </c>
      <c r="E8" s="1">
        <v>924</v>
      </c>
      <c r="F8" s="1">
        <v>0</v>
      </c>
      <c r="G8" s="1">
        <v>0</v>
      </c>
      <c r="H8" s="1">
        <v>116</v>
      </c>
    </row>
    <row r="9" spans="1:8">
      <c r="A9" s="1" t="s">
        <v>7</v>
      </c>
      <c r="B9" s="2">
        <v>3.18869161605835</v>
      </c>
      <c r="C9" s="1">
        <v>97</v>
      </c>
      <c r="D9" s="1">
        <v>195</v>
      </c>
      <c r="E9" s="1">
        <v>194</v>
      </c>
      <c r="F9" s="1">
        <v>0</v>
      </c>
      <c r="G9" s="1">
        <v>1</v>
      </c>
      <c r="H9" s="1">
        <v>96</v>
      </c>
    </row>
    <row r="10" spans="1:8">
      <c r="A10" s="1" t="s">
        <v>8</v>
      </c>
      <c r="B10" s="2">
        <v>0.6574621796607971</v>
      </c>
      <c r="C10" s="1">
        <v>20</v>
      </c>
      <c r="D10" s="1">
        <v>156</v>
      </c>
      <c r="E10" s="1">
        <v>156</v>
      </c>
      <c r="F10" s="1">
        <v>0</v>
      </c>
      <c r="G10" s="1">
        <v>0</v>
      </c>
      <c r="H10" s="1">
        <v>20</v>
      </c>
    </row>
    <row r="11" spans="1:8">
      <c r="A11" s="1" t="s">
        <v>9</v>
      </c>
      <c r="B11" s="2">
        <v>0.2958579957485199</v>
      </c>
      <c r="C11" s="1">
        <v>9</v>
      </c>
      <c r="D11" s="1">
        <v>275</v>
      </c>
      <c r="E11" s="1">
        <v>270</v>
      </c>
      <c r="F11" s="1">
        <v>0</v>
      </c>
      <c r="G11" s="1">
        <v>5</v>
      </c>
      <c r="H11" s="1">
        <v>4</v>
      </c>
    </row>
    <row r="12" spans="1:8">
      <c r="A12" s="1" t="s">
        <v>10</v>
      </c>
      <c r="B12" s="2">
        <v>0.2629848718643189</v>
      </c>
      <c r="C12" s="1">
        <v>8</v>
      </c>
      <c r="D12" s="1">
        <v>944</v>
      </c>
      <c r="E12" s="1">
        <v>944</v>
      </c>
      <c r="F12" s="1">
        <v>0</v>
      </c>
      <c r="G12" s="1">
        <v>0</v>
      </c>
      <c r="H12" s="1">
        <v>8</v>
      </c>
    </row>
    <row r="13" spans="1:8">
      <c r="A13" s="1" t="s">
        <v>11</v>
      </c>
      <c r="B13" s="2">
        <v>0.1314924359321594</v>
      </c>
      <c r="C13" s="1">
        <v>4</v>
      </c>
      <c r="D13" s="1">
        <v>46</v>
      </c>
      <c r="E13" s="1">
        <v>18</v>
      </c>
      <c r="F13" s="1">
        <v>24</v>
      </c>
      <c r="G13" s="1">
        <v>4</v>
      </c>
      <c r="H13" s="1">
        <v>0</v>
      </c>
    </row>
    <row r="40" spans="1:8">
      <c r="A40" t="s">
        <v>39</v>
      </c>
      <c r="B40">
        <f>SUBTOTAL(109,[ram_percent])</f>
        <v>0</v>
      </c>
      <c r="C40">
        <f>SUBTOTAL(109,[ram])</f>
        <v>0</v>
      </c>
      <c r="D40">
        <f>SUBTOTAL(109,[flash])</f>
        <v>0</v>
      </c>
      <c r="E40">
        <f>SUBTOTAL(109,[Code])</f>
        <v>0</v>
      </c>
      <c r="F40">
        <f>SUBTOTAL(109,[RO_data])</f>
        <v>0</v>
      </c>
      <c r="G40">
        <f>SUBTOTAL(109,[RW_data])</f>
        <v>0</v>
      </c>
      <c r="H40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40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38</v>
      </c>
      <c r="B2" t="s">
        <v>47</v>
      </c>
      <c r="C2" t="s">
        <v>42</v>
      </c>
      <c r="D2" t="s">
        <v>41</v>
      </c>
      <c r="E2" t="s">
        <v>43</v>
      </c>
      <c r="F2" t="s">
        <v>44</v>
      </c>
      <c r="G2" t="s">
        <v>45</v>
      </c>
      <c r="H2" t="s">
        <v>46</v>
      </c>
    </row>
    <row r="3" spans="1:8">
      <c r="A3" s="1" t="s">
        <v>12</v>
      </c>
      <c r="B3" s="2">
        <v>17.82472610473633</v>
      </c>
      <c r="C3" s="1">
        <v>4556</v>
      </c>
      <c r="D3" s="1">
        <v>0</v>
      </c>
      <c r="E3" s="1">
        <v>4556</v>
      </c>
      <c r="F3" s="1">
        <v>0</v>
      </c>
      <c r="G3" s="1">
        <v>0</v>
      </c>
      <c r="H3" s="1">
        <v>0</v>
      </c>
    </row>
    <row r="4" spans="1:8">
      <c r="A4" s="1" t="s">
        <v>13</v>
      </c>
      <c r="B4" s="2">
        <v>14.96870136260986</v>
      </c>
      <c r="C4" s="1">
        <v>3826</v>
      </c>
      <c r="D4" s="1">
        <v>0</v>
      </c>
      <c r="E4" s="1">
        <v>3826</v>
      </c>
      <c r="F4" s="1">
        <v>0</v>
      </c>
      <c r="G4" s="1">
        <v>0</v>
      </c>
      <c r="H4" s="1">
        <v>0</v>
      </c>
    </row>
    <row r="5" spans="1:8">
      <c r="A5" s="1" t="s">
        <v>14</v>
      </c>
      <c r="B5" s="2">
        <v>10.35211277008057</v>
      </c>
      <c r="C5" s="1">
        <v>2646</v>
      </c>
      <c r="D5" s="1">
        <v>0</v>
      </c>
      <c r="E5" s="1">
        <v>2646</v>
      </c>
      <c r="F5" s="1">
        <v>0</v>
      </c>
      <c r="G5" s="1">
        <v>0</v>
      </c>
      <c r="H5" s="1">
        <v>0</v>
      </c>
    </row>
    <row r="6" spans="1:8">
      <c r="A6" s="1" t="s">
        <v>5</v>
      </c>
      <c r="B6" s="2">
        <v>8.169013977050781</v>
      </c>
      <c r="C6" s="1">
        <v>2088</v>
      </c>
      <c r="D6" s="1">
        <v>132</v>
      </c>
      <c r="E6" s="1">
        <v>2088</v>
      </c>
      <c r="F6" s="1">
        <v>0</v>
      </c>
      <c r="G6" s="1">
        <v>0</v>
      </c>
      <c r="H6" s="1">
        <v>132</v>
      </c>
    </row>
    <row r="7" spans="1:8">
      <c r="A7" s="1" t="s">
        <v>15</v>
      </c>
      <c r="B7" s="2">
        <v>8.122065544128418</v>
      </c>
      <c r="C7" s="1">
        <v>2076</v>
      </c>
      <c r="D7" s="1">
        <v>0</v>
      </c>
      <c r="E7" s="1">
        <v>2068</v>
      </c>
      <c r="F7" s="1">
        <v>8</v>
      </c>
      <c r="G7" s="1">
        <v>0</v>
      </c>
      <c r="H7" s="1">
        <v>0</v>
      </c>
    </row>
    <row r="8" spans="1:8">
      <c r="A8" s="1" t="s">
        <v>1</v>
      </c>
      <c r="B8" s="2">
        <v>6.032863616943359</v>
      </c>
      <c r="C8" s="1">
        <v>1542</v>
      </c>
      <c r="D8" s="1">
        <v>1056</v>
      </c>
      <c r="E8" s="1">
        <v>1542</v>
      </c>
      <c r="F8" s="1">
        <v>0</v>
      </c>
      <c r="G8" s="1">
        <v>0</v>
      </c>
      <c r="H8" s="1">
        <v>1056</v>
      </c>
    </row>
    <row r="9" spans="1:8">
      <c r="A9" s="1" t="s">
        <v>3</v>
      </c>
      <c r="B9" s="2">
        <v>5.242566585540772</v>
      </c>
      <c r="C9" s="1">
        <v>1340</v>
      </c>
      <c r="D9" s="1">
        <v>360</v>
      </c>
      <c r="E9" s="1">
        <v>1340</v>
      </c>
      <c r="F9" s="1">
        <v>0</v>
      </c>
      <c r="G9" s="1">
        <v>0</v>
      </c>
      <c r="H9" s="1">
        <v>360</v>
      </c>
    </row>
    <row r="10" spans="1:8">
      <c r="A10" s="1" t="s">
        <v>16</v>
      </c>
      <c r="B10" s="2">
        <v>3.896713733673096</v>
      </c>
      <c r="C10" s="1">
        <v>996</v>
      </c>
      <c r="D10" s="1">
        <v>0</v>
      </c>
      <c r="E10" s="1">
        <v>996</v>
      </c>
      <c r="F10" s="1">
        <v>0</v>
      </c>
      <c r="G10" s="1">
        <v>0</v>
      </c>
      <c r="H10" s="1">
        <v>0</v>
      </c>
    </row>
    <row r="11" spans="1:8">
      <c r="A11" s="1" t="s">
        <v>10</v>
      </c>
      <c r="B11" s="2">
        <v>3.693270683288574</v>
      </c>
      <c r="C11" s="1">
        <v>944</v>
      </c>
      <c r="D11" s="1">
        <v>8</v>
      </c>
      <c r="E11" s="1">
        <v>944</v>
      </c>
      <c r="F11" s="1">
        <v>0</v>
      </c>
      <c r="G11" s="1">
        <v>0</v>
      </c>
      <c r="H11" s="1">
        <v>8</v>
      </c>
    </row>
    <row r="12" spans="1:8">
      <c r="A12" s="1" t="s">
        <v>6</v>
      </c>
      <c r="B12" s="2">
        <v>3.615023374557495</v>
      </c>
      <c r="C12" s="1">
        <v>924</v>
      </c>
      <c r="D12" s="1">
        <v>116</v>
      </c>
      <c r="E12" s="1">
        <v>924</v>
      </c>
      <c r="F12" s="1">
        <v>0</v>
      </c>
      <c r="G12" s="1">
        <v>0</v>
      </c>
      <c r="H12" s="1">
        <v>116</v>
      </c>
    </row>
    <row r="13" spans="1:8">
      <c r="A13" s="1" t="s">
        <v>17</v>
      </c>
      <c r="B13" s="2">
        <v>1.964006304740906</v>
      </c>
      <c r="C13" s="1">
        <v>502</v>
      </c>
      <c r="D13" s="1">
        <v>0</v>
      </c>
      <c r="E13" s="1">
        <v>502</v>
      </c>
      <c r="F13" s="1">
        <v>0</v>
      </c>
      <c r="G13" s="1">
        <v>0</v>
      </c>
      <c r="H13" s="1">
        <v>0</v>
      </c>
    </row>
    <row r="14" spans="1:8">
      <c r="A14" s="1" t="s">
        <v>18</v>
      </c>
      <c r="B14" s="2">
        <v>1.885758996009827</v>
      </c>
      <c r="C14" s="1">
        <v>482</v>
      </c>
      <c r="D14" s="1">
        <v>0</v>
      </c>
      <c r="E14" s="1">
        <v>482</v>
      </c>
      <c r="F14" s="1">
        <v>0</v>
      </c>
      <c r="G14" s="1">
        <v>0</v>
      </c>
      <c r="H14" s="1">
        <v>0</v>
      </c>
    </row>
    <row r="15" spans="1:8">
      <c r="A15" s="1" t="s">
        <v>2</v>
      </c>
      <c r="B15" s="2">
        <v>1.674491405487061</v>
      </c>
      <c r="C15" s="1">
        <v>428</v>
      </c>
      <c r="D15" s="1">
        <v>1024</v>
      </c>
      <c r="E15" s="1">
        <v>36</v>
      </c>
      <c r="F15" s="1">
        <v>392</v>
      </c>
      <c r="G15" s="1">
        <v>0</v>
      </c>
      <c r="H15" s="1">
        <v>1024</v>
      </c>
    </row>
    <row r="16" spans="1:8">
      <c r="A16" s="1" t="s">
        <v>19</v>
      </c>
      <c r="B16" s="2">
        <v>1.27543032169342</v>
      </c>
      <c r="C16" s="1">
        <v>326</v>
      </c>
      <c r="D16" s="1">
        <v>0</v>
      </c>
      <c r="E16" s="1">
        <v>326</v>
      </c>
      <c r="F16" s="1">
        <v>0</v>
      </c>
      <c r="G16" s="1">
        <v>0</v>
      </c>
      <c r="H16" s="1">
        <v>0</v>
      </c>
    </row>
    <row r="17" spans="1:8">
      <c r="A17" s="1" t="s">
        <v>4</v>
      </c>
      <c r="B17" s="2">
        <v>1.259780883789063</v>
      </c>
      <c r="C17" s="1">
        <v>322</v>
      </c>
      <c r="D17" s="1">
        <v>216</v>
      </c>
      <c r="E17" s="1">
        <v>106</v>
      </c>
      <c r="F17" s="1">
        <v>0</v>
      </c>
      <c r="G17" s="1">
        <v>216</v>
      </c>
      <c r="H17" s="1">
        <v>0</v>
      </c>
    </row>
    <row r="18" spans="1:8">
      <c r="A18" s="1" t="s">
        <v>20</v>
      </c>
      <c r="B18" s="2">
        <v>1.197183132171631</v>
      </c>
      <c r="C18" s="1">
        <v>306</v>
      </c>
      <c r="D18" s="1">
        <v>0</v>
      </c>
      <c r="E18" s="1">
        <v>306</v>
      </c>
      <c r="F18" s="1">
        <v>0</v>
      </c>
      <c r="G18" s="1">
        <v>0</v>
      </c>
      <c r="H18" s="1">
        <v>0</v>
      </c>
    </row>
    <row r="19" spans="1:8">
      <c r="A19" s="1" t="s">
        <v>21</v>
      </c>
      <c r="B19" s="2">
        <v>1.150234699249268</v>
      </c>
      <c r="C19" s="1">
        <v>294</v>
      </c>
      <c r="D19" s="1">
        <v>0</v>
      </c>
      <c r="E19" s="1">
        <v>294</v>
      </c>
      <c r="F19" s="1">
        <v>0</v>
      </c>
      <c r="G19" s="1">
        <v>0</v>
      </c>
      <c r="H19" s="1">
        <v>0</v>
      </c>
    </row>
    <row r="20" spans="1:8">
      <c r="A20" s="1" t="s">
        <v>9</v>
      </c>
      <c r="B20" s="2">
        <v>1.075899839401245</v>
      </c>
      <c r="C20" s="1">
        <v>275</v>
      </c>
      <c r="D20" s="1">
        <v>9</v>
      </c>
      <c r="E20" s="1">
        <v>270</v>
      </c>
      <c r="F20" s="1">
        <v>0</v>
      </c>
      <c r="G20" s="1">
        <v>5</v>
      </c>
      <c r="H20" s="1">
        <v>4</v>
      </c>
    </row>
    <row r="21" spans="1:8">
      <c r="A21" s="1" t="s">
        <v>22</v>
      </c>
      <c r="B21" s="2">
        <v>0.8920187950134277</v>
      </c>
      <c r="C21" s="1">
        <v>228</v>
      </c>
      <c r="D21" s="1">
        <v>0</v>
      </c>
      <c r="E21" s="1">
        <v>228</v>
      </c>
      <c r="F21" s="1">
        <v>0</v>
      </c>
      <c r="G21" s="1">
        <v>0</v>
      </c>
      <c r="H21" s="1">
        <v>0</v>
      </c>
    </row>
    <row r="22" spans="1:8">
      <c r="A22" s="1" t="s">
        <v>23</v>
      </c>
      <c r="B22" s="2">
        <v>0.8685445785522461</v>
      </c>
      <c r="C22" s="1">
        <v>222</v>
      </c>
      <c r="D22" s="1">
        <v>0</v>
      </c>
      <c r="E22" s="1">
        <v>222</v>
      </c>
      <c r="F22" s="1">
        <v>0</v>
      </c>
      <c r="G22" s="1">
        <v>0</v>
      </c>
      <c r="H22" s="1">
        <v>0</v>
      </c>
    </row>
    <row r="23" spans="1:8">
      <c r="A23" s="1" t="s">
        <v>24</v>
      </c>
      <c r="B23" s="2">
        <v>0.7746478915214539</v>
      </c>
      <c r="C23" s="1">
        <v>198</v>
      </c>
      <c r="D23" s="1">
        <v>0</v>
      </c>
      <c r="E23" s="1">
        <v>198</v>
      </c>
      <c r="F23" s="1">
        <v>0</v>
      </c>
      <c r="G23" s="1">
        <v>0</v>
      </c>
      <c r="H23" s="1">
        <v>0</v>
      </c>
    </row>
    <row r="24" spans="1:8">
      <c r="A24" s="1" t="s">
        <v>7</v>
      </c>
      <c r="B24" s="2">
        <v>0.762910783290863</v>
      </c>
      <c r="C24" s="1">
        <v>195</v>
      </c>
      <c r="D24" s="1">
        <v>97</v>
      </c>
      <c r="E24" s="1">
        <v>194</v>
      </c>
      <c r="F24" s="1">
        <v>0</v>
      </c>
      <c r="G24" s="1">
        <v>1</v>
      </c>
      <c r="H24" s="1">
        <v>96</v>
      </c>
    </row>
    <row r="25" spans="1:8">
      <c r="A25" s="1" t="s">
        <v>25</v>
      </c>
      <c r="B25" s="2">
        <v>0.7276995182037354</v>
      </c>
      <c r="C25" s="1">
        <v>186</v>
      </c>
      <c r="D25" s="1">
        <v>0</v>
      </c>
      <c r="E25" s="1">
        <v>186</v>
      </c>
      <c r="F25" s="1">
        <v>0</v>
      </c>
      <c r="G25" s="1">
        <v>0</v>
      </c>
      <c r="H25" s="1">
        <v>0</v>
      </c>
    </row>
    <row r="26" spans="1:8">
      <c r="A26" s="1" t="s">
        <v>8</v>
      </c>
      <c r="B26" s="2">
        <v>0.6103286147117615</v>
      </c>
      <c r="C26" s="1">
        <v>156</v>
      </c>
      <c r="D26" s="1">
        <v>20</v>
      </c>
      <c r="E26" s="1">
        <v>156</v>
      </c>
      <c r="F26" s="1">
        <v>0</v>
      </c>
      <c r="G26" s="1">
        <v>0</v>
      </c>
      <c r="H26" s="1">
        <v>20</v>
      </c>
    </row>
    <row r="27" spans="1:8">
      <c r="A27" s="1" t="s">
        <v>26</v>
      </c>
      <c r="B27" s="2">
        <v>0.3834115862846375</v>
      </c>
      <c r="C27" s="1">
        <v>98</v>
      </c>
      <c r="D27" s="1">
        <v>0</v>
      </c>
      <c r="E27" s="1">
        <v>98</v>
      </c>
      <c r="F27" s="1">
        <v>0</v>
      </c>
      <c r="G27" s="1">
        <v>0</v>
      </c>
      <c r="H27" s="1">
        <v>0</v>
      </c>
    </row>
    <row r="28" spans="1:8">
      <c r="A28" s="1" t="s">
        <v>27</v>
      </c>
      <c r="B28" s="2">
        <v>0.2895148694515228</v>
      </c>
      <c r="C28" s="1">
        <v>74</v>
      </c>
      <c r="D28" s="1">
        <v>0</v>
      </c>
      <c r="E28" s="1">
        <v>74</v>
      </c>
      <c r="F28" s="1">
        <v>0</v>
      </c>
      <c r="G28" s="1">
        <v>0</v>
      </c>
      <c r="H28" s="1">
        <v>0</v>
      </c>
    </row>
    <row r="29" spans="1:8">
      <c r="A29" s="1" t="s">
        <v>28</v>
      </c>
      <c r="B29" s="2">
        <v>0.1956181526184082</v>
      </c>
      <c r="C29" s="1">
        <v>50</v>
      </c>
      <c r="D29" s="1">
        <v>0</v>
      </c>
      <c r="E29" s="1">
        <v>50</v>
      </c>
      <c r="F29" s="1">
        <v>0</v>
      </c>
      <c r="G29" s="1">
        <v>0</v>
      </c>
      <c r="H29" s="1">
        <v>0</v>
      </c>
    </row>
    <row r="30" spans="1:8">
      <c r="A30" s="1" t="s">
        <v>29</v>
      </c>
      <c r="B30" s="2">
        <v>0.1877934336662293</v>
      </c>
      <c r="C30" s="1">
        <v>48</v>
      </c>
      <c r="D30" s="1">
        <v>0</v>
      </c>
      <c r="E30" s="1">
        <v>48</v>
      </c>
      <c r="F30" s="1">
        <v>0</v>
      </c>
      <c r="G30" s="1">
        <v>0</v>
      </c>
      <c r="H30" s="1">
        <v>0</v>
      </c>
    </row>
    <row r="31" spans="1:8">
      <c r="A31" s="1" t="s">
        <v>11</v>
      </c>
      <c r="B31" s="2">
        <v>0.1799686998128891</v>
      </c>
      <c r="C31" s="1">
        <v>46</v>
      </c>
      <c r="D31" s="1">
        <v>4</v>
      </c>
      <c r="E31" s="1">
        <v>18</v>
      </c>
      <c r="F31" s="1">
        <v>24</v>
      </c>
      <c r="G31" s="1">
        <v>4</v>
      </c>
      <c r="H31" s="1">
        <v>0</v>
      </c>
    </row>
    <row r="32" spans="1:8">
      <c r="A32" s="1" t="s">
        <v>30</v>
      </c>
      <c r="B32" s="2">
        <v>0.1486697942018509</v>
      </c>
      <c r="C32" s="1">
        <v>38</v>
      </c>
      <c r="D32" s="1">
        <v>0</v>
      </c>
      <c r="E32" s="1">
        <v>38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0.1408450752496719</v>
      </c>
      <c r="C33" s="1">
        <v>36</v>
      </c>
      <c r="D33" s="1">
        <v>0</v>
      </c>
      <c r="E33" s="1">
        <v>36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0.1251956224441528</v>
      </c>
      <c r="C34" s="1">
        <v>32</v>
      </c>
      <c r="D34" s="1">
        <v>0</v>
      </c>
      <c r="E34" s="1">
        <v>32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0.1173708885908127</v>
      </c>
      <c r="C35" s="1">
        <v>30</v>
      </c>
      <c r="D35" s="1">
        <v>0</v>
      </c>
      <c r="E35" s="1">
        <v>30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0.1173708885908127</v>
      </c>
      <c r="C36" s="1">
        <v>30</v>
      </c>
      <c r="D36" s="1">
        <v>0</v>
      </c>
      <c r="E36" s="1">
        <v>30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0.03129890561103821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0.03129890561103821</v>
      </c>
      <c r="C38" s="1">
        <v>8</v>
      </c>
      <c r="D38" s="1">
        <v>0</v>
      </c>
      <c r="E38" s="1">
        <v>8</v>
      </c>
      <c r="F38" s="1">
        <v>0</v>
      </c>
      <c r="G38" s="1">
        <v>0</v>
      </c>
      <c r="H38" s="1">
        <v>0</v>
      </c>
    </row>
    <row r="39" spans="1:8">
      <c r="A39" s="1" t="s">
        <v>37</v>
      </c>
      <c r="B39" s="2">
        <v>0.0156494528055191</v>
      </c>
      <c r="C39" s="1">
        <v>4</v>
      </c>
      <c r="D39" s="1">
        <v>0</v>
      </c>
      <c r="E39" s="1">
        <v>4</v>
      </c>
      <c r="F39" s="1">
        <v>0</v>
      </c>
      <c r="G39" s="1">
        <v>0</v>
      </c>
      <c r="H39" s="1">
        <v>0</v>
      </c>
    </row>
    <row r="40" spans="1:8">
      <c r="A40" t="s">
        <v>39</v>
      </c>
      <c r="B40">
        <f>SUBTOTAL(109,[flash_percent])</f>
        <v>0</v>
      </c>
      <c r="C40">
        <f>SUBTOTAL(109,[flash])</f>
        <v>0</v>
      </c>
      <c r="D40">
        <f>SUBTOTAL(109,[ram])</f>
        <v>0</v>
      </c>
      <c r="E40">
        <f>SUBTOTAL(109,[Code])</f>
        <v>0</v>
      </c>
      <c r="F40">
        <f>SUBTOTAL(109,[RO_data])</f>
        <v>0</v>
      </c>
      <c r="G40">
        <f>SUBTOTAL(109,[RW_data])</f>
        <v>0</v>
      </c>
      <c r="H40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2026-05-04T07:42:36Z</dcterms:created>
  <dcterms:modified xsi:type="dcterms:W3CDTF">2026-05-04T07:42:36Z</dcterms:modified>
</cp:coreProperties>
</file>